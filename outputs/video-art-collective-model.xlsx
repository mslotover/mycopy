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0" authorId="0">
      <text>
        <r>
          <rPr>
            <sz val="10"/>
            <rFont val="Arial"/>
            <family val="2"/>
          </rPr>
          <t xml:space="preserve">Only whole works are bought; leftover money rolls into next year.</t>
        </r>
      </text>
    </comment>
    <comment ref="A40" authorId="0">
      <text>
        <r>
          <rPr>
            <sz val="10"/>
            <rFont val="Arial"/>
            <family val="2"/>
          </rPr>
          <t xml:space="preserve">Members needed for income to cover platform, staff and the artist licence pool, ignoring marketing.</t>
        </r>
      </text>
    </comment>
  </commentList>
</comments>
</file>

<file path=xl/sharedStrings.xml><?xml version="1.0" encoding="utf-8"?>
<sst xmlns="http://schemas.openxmlformats.org/spreadsheetml/2006/main" count="78" uniqueCount="73">
  <si>
    <t xml:space="preserve">Video Art Members' Collection: Assumptions</t>
  </si>
  <si>
    <t xml:space="preserve">Blue = editable input. Yellow = key lever. All figures are illustrative assumptions by Claude, not sourced data; replace with your own.</t>
  </si>
  <si>
    <t xml:space="preserve">Input</t>
  </si>
  <si>
    <t xml:space="preserve">Value</t>
  </si>
  <si>
    <t xml:space="preserve">Scenario (1 = Low, 2 = Base, 3 = High)</t>
  </si>
  <si>
    <t xml:space="preserve">Monthly membership price ($)</t>
  </si>
  <si>
    <t xml:space="preserve">Annual churn (% of opening members)</t>
  </si>
  <si>
    <t xml:space="preserve">Payment / app-store fees (% of gross)</t>
  </si>
  <si>
    <t xml:space="preserve">Artist streaming licence pool (% of net revenue)</t>
  </si>
  <si>
    <t xml:space="preserve">Acquisition fund (% of net revenue)</t>
  </si>
  <si>
    <t xml:space="preserve">Share of fund spent buying existing editions</t>
  </si>
  <si>
    <t xml:space="preserve">Average price of a video edition ($)</t>
  </si>
  <si>
    <t xml:space="preserve">Average cost of a new commission ($)</t>
  </si>
  <si>
    <t xml:space="preserve">Platform &amp; tech costs per year ($)</t>
  </si>
  <si>
    <t xml:space="preserve">Staff &amp; curation costs per year ($)</t>
  </si>
  <si>
    <t xml:space="preserve">Marketing cost per new member ($)</t>
  </si>
  <si>
    <t xml:space="preserve">Loan / screening fee per collection work per year ($)</t>
  </si>
  <si>
    <t xml:space="preserve">New members acquired per year</t>
  </si>
  <si>
    <t xml:space="preserve">Scenario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</si>
  <si>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</si>
  <si>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</si>
  <si>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</si>
  <si>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</si>
  <si>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</si>
  <si>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Low</t>
  </si>
  <si>
    <t xml:space="preserve">Base</t>
  </si>
  <si>
    <t xml:space="preserve">High</t>
  </si>
  <si>
    <t xml:space="preserve">Basis: Low ≈ art-world core only; Base ≈ core plus some culture-curious viewers; High ≈ MUBI-style breakout or a bundle with a magazine/fair. Illustrative.</t>
  </si>
  <si>
    <t xml:space="preserve">Five-Year Model</t>
  </si>
  <si>
    <t xml:space="preserve">($, members)</t>
  </si>
  <si>
    <t xml:space="preserve">MEMBERS</t>
  </si>
  <si>
    <t xml:space="preserve">Opening members</t>
  </si>
  <si>
    <t xml:space="preserve">New members</t>
  </si>
  <si>
    <t xml:space="preserve">Churned members</t>
  </si>
  <si>
    <t xml:space="preserve">Closing members</t>
  </si>
  <si>
    <t xml:space="preserve">Average paying members</t>
  </si>
  <si>
    <t xml:space="preserve">REVENUE</t>
  </si>
  <si>
    <t xml:space="preserve">Gross membership revenue</t>
  </si>
  <si>
    <t xml:space="preserve">Payment / app-store fees</t>
  </si>
  <si>
    <t xml:space="preserve">Net membership revenue</t>
  </si>
  <si>
    <t xml:space="preserve">Loan / screening income</t>
  </si>
  <si>
    <t xml:space="preserve">Total income</t>
  </si>
  <si>
    <t xml:space="preserve">COSTS</t>
  </si>
  <si>
    <t xml:space="preserve">Artist streaming licence pool</t>
  </si>
  <si>
    <t xml:space="preserve">Platform &amp; tech</t>
  </si>
  <si>
    <t xml:space="preserve">Staff &amp; curation</t>
  </si>
  <si>
    <t xml:space="preserve">Marketing (new members)</t>
  </si>
  <si>
    <t xml:space="preserve">Operating result before acquisitions</t>
  </si>
  <si>
    <t xml:space="preserve">Acquisition fund contribution</t>
  </si>
  <si>
    <t xml:space="preserve">Net result after acquisitions</t>
  </si>
  <si>
    <t xml:space="preserve">Cumulative net result</t>
  </si>
  <si>
    <t xml:space="preserve">COLLECTION</t>
  </si>
  <si>
    <t xml:space="preserve">Fund available (incl. unspent carry-over)</t>
  </si>
  <si>
    <t xml:space="preserve">Editions bought</t>
  </si>
  <si>
    <t xml:space="preserve">New commissions</t>
  </si>
  <si>
    <t xml:space="preserve">Spent this year</t>
  </si>
  <si>
    <t xml:space="preserve">Unspent carried forward</t>
  </si>
  <si>
    <t xml:space="preserve">Works in collection (cumulative)</t>
  </si>
  <si>
    <t xml:space="preserve">Collection at cost (cumulative)</t>
  </si>
  <si>
    <t xml:space="preserve">KEY METRICS</t>
  </si>
  <si>
    <t xml:space="preserve">Annual payout to artists (licence + acquisitions spent)</t>
  </si>
  <si>
    <t xml:space="preserve">Break-even members (before acquisitions)</t>
  </si>
  <si>
    <t xml:space="preserve">Break-even members (after acquisitions)</t>
  </si>
  <si>
    <t xml:space="preserve">How to use</t>
  </si>
  <si>
    <t xml:space="preserve">1. Change blue cells on the Assumptions sheet; yellow cells are the main levers.</t>
  </si>
  <si>
    <t xml:space="preserve">2. Switch scenario with Assumptions!B5 (1 Low, 2 Base, 3 High).</t>
  </si>
  <si>
    <t xml:space="preserve">3. The Model sheet recalculates everything: members, revenue, costs, and how many works the fund buys.</t>
  </si>
  <si>
    <t xml:space="preserve">Simplifications</t>
  </si>
  <si>
    <t xml:space="preserve">- Annual model; churn applied to opening members only (new joiners assumed to stay their first year).</t>
  </si>
  <si>
    <t xml:space="preserve">- No tax, VAT, financing, or rights-clearance legal costs; no resale of collection works.</t>
  </si>
  <si>
    <t xml:space="preserve">- Collection valued at cost; video editions often resell below cost, so treat this as an upper bound.</t>
  </si>
  <si>
    <t xml:space="preserve">- Streaming rights for owned editions are assumed covered by the licence pool; in practice each needs negotiating.</t>
  </si>
  <si>
    <t xml:space="preserve">- Every input is an illustrative assumption, not sourced market data.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</si>
</sst>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;&quot;($&quot;#,##0\);\-"/>
    <numFmt numFmtId="167" formatCode="0.0%"/>
    <numFmt numFmtId="168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3EA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4" t="s">
        <v>3</v>
      </c>
      <c r="C4" s="2"/>
      <c r="D4" s="2"/>
      <c r="E4" s="2"/>
      <c r="F4" s="2"/>
    </row>
    <row r="5" customFormat="false" ht="15" hidden="false" customHeight="false" outlineLevel="0" collapsed="false">
      <c r="A5" s="5" t="s">
        <v>4</v>
      </c>
      <c r="B5" s="6" t="n">
        <v>2</v>
      </c>
      <c r="C5" s="2"/>
      <c r="D5" s="2"/>
      <c r="E5" s="2"/>
      <c r="F5" s="2"/>
    </row>
    <row r="6" customFormat="false" ht="15" hidden="false" customHeight="false" outlineLevel="0" collapsed="false">
      <c r="A6" s="5" t="s">
        <v>5</v>
      </c>
      <c r="B6" s="7" t="n">
        <v>12</v>
      </c>
      <c r="C6" s="2"/>
      <c r="D6" s="2"/>
      <c r="E6" s="2"/>
      <c r="F6" s="2"/>
    </row>
    <row r="7" customFormat="false" ht="15" hidden="false" customHeight="false" outlineLevel="0" collapsed="false">
      <c r="A7" s="5" t="s">
        <v>6</v>
      </c>
      <c r="B7" s="8" t="n">
        <v>0.35</v>
      </c>
      <c r="C7" s="2"/>
      <c r="D7" s="2"/>
      <c r="E7" s="2"/>
      <c r="F7" s="2"/>
    </row>
    <row r="8" customFormat="false" ht="15" hidden="false" customHeight="false" outlineLevel="0" collapsed="false">
      <c r="A8" s="5" t="s">
        <v>7</v>
      </c>
      <c r="B8" s="9" t="n">
        <v>0.08</v>
      </c>
      <c r="C8" s="2"/>
      <c r="D8" s="2"/>
      <c r="E8" s="2"/>
      <c r="F8" s="2"/>
    </row>
    <row r="9" customFormat="false" ht="15" hidden="false" customHeight="false" outlineLevel="0" collapsed="false">
      <c r="A9" s="5" t="s">
        <v>8</v>
      </c>
      <c r="B9" s="8" t="n">
        <v>0.2</v>
      </c>
      <c r="C9" s="2"/>
      <c r="D9" s="2"/>
      <c r="E9" s="2"/>
      <c r="F9" s="2"/>
    </row>
    <row r="10" customFormat="false" ht="15" hidden="false" customHeight="false" outlineLevel="0" collapsed="false">
      <c r="A10" s="5" t="s">
        <v>9</v>
      </c>
      <c r="B10" s="8" t="n">
        <v>0.25</v>
      </c>
      <c r="C10" s="2"/>
      <c r="D10" s="2"/>
      <c r="E10" s="2"/>
      <c r="F10" s="2"/>
    </row>
    <row r="11" customFormat="false" ht="15" hidden="false" customHeight="false" outlineLevel="0" collapsed="false">
      <c r="A11" s="5" t="s">
        <v>10</v>
      </c>
      <c r="B11" s="9" t="n">
        <v>0.7</v>
      </c>
      <c r="C11" s="2"/>
      <c r="D11" s="2"/>
      <c r="E11" s="2"/>
      <c r="F11" s="2"/>
    </row>
    <row r="12" customFormat="false" ht="15" hidden="false" customHeight="false" outlineLevel="0" collapsed="false">
      <c r="A12" s="5" t="s">
        <v>11</v>
      </c>
      <c r="B12" s="7" t="n">
        <v>60000</v>
      </c>
      <c r="C12" s="2"/>
      <c r="D12" s="2"/>
      <c r="E12" s="2"/>
      <c r="F12" s="2"/>
    </row>
    <row r="13" customFormat="false" ht="15" hidden="false" customHeight="false" outlineLevel="0" collapsed="false">
      <c r="A13" s="5" t="s">
        <v>12</v>
      </c>
      <c r="B13" s="10" t="n">
        <v>40000</v>
      </c>
      <c r="C13" s="2"/>
      <c r="D13" s="2"/>
      <c r="E13" s="2"/>
      <c r="F13" s="2"/>
    </row>
    <row r="14" customFormat="false" ht="15" hidden="false" customHeight="false" outlineLevel="0" collapsed="false">
      <c r="A14" s="5" t="s">
        <v>13</v>
      </c>
      <c r="B14" s="10" t="n">
        <v>600000</v>
      </c>
      <c r="C14" s="2"/>
      <c r="D14" s="2"/>
      <c r="E14" s="2"/>
      <c r="F14" s="2"/>
    </row>
    <row r="15" customFormat="false" ht="15" hidden="false" customHeight="false" outlineLevel="0" collapsed="false">
      <c r="A15" s="5" t="s">
        <v>14</v>
      </c>
      <c r="B15" s="10" t="n">
        <v>800000</v>
      </c>
      <c r="C15" s="2"/>
      <c r="D15" s="2"/>
      <c r="E15" s="2"/>
      <c r="F15" s="2"/>
    </row>
    <row r="16" customFormat="false" ht="15" hidden="false" customHeight="false" outlineLevel="0" collapsed="false">
      <c r="A16" s="5" t="s">
        <v>15</v>
      </c>
      <c r="B16" s="10" t="n">
        <v>40</v>
      </c>
      <c r="C16" s="2"/>
      <c r="D16" s="2"/>
      <c r="E16" s="2"/>
      <c r="F16" s="2"/>
    </row>
    <row r="17" customFormat="false" ht="15" hidden="false" customHeight="false" outlineLevel="0" collapsed="false">
      <c r="A17" s="5" t="s">
        <v>16</v>
      </c>
      <c r="B17" s="10" t="n">
        <v>1500</v>
      </c>
      <c r="C17" s="2"/>
      <c r="D17" s="2"/>
      <c r="E17" s="2"/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11" t="s">
        <v>17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</row>
    <row r="21" customFormat="false" ht="15" hidden="false" customHeight="false" outlineLevel="0" collapsed="false">
      <c r="A21" s="5" t="s">
        <v>24</v>
      </c>
      <c r="B21" s="12" t="n">
        <v>5000</v>
      </c>
      <c r="C21" s="12" t="n">
        <v>7000</v>
      </c>
      <c r="D21" s="12" t="n">
        <v>9000</v>
      </c>
      <c r="E21" s="12" t="n">
        <v>10000</v>
      </c>
      <c r="F21" s="12" t="n">
        <v>11000</v>
      </c>
    </row>
    <row r="22" customFormat="false" ht="15" hidden="false" customHeight="false" outlineLevel="0" collapsed="false">
      <c r="A22" s="5" t="s">
        <v>25</v>
      </c>
      <c r="B22" s="12" t="n">
        <v>15000</v>
      </c>
      <c r="C22" s="12" t="n">
        <v>20000</v>
      </c>
      <c r="D22" s="12" t="n">
        <v>25000</v>
      </c>
      <c r="E22" s="12" t="n">
        <v>30000</v>
      </c>
      <c r="F22" s="12" t="n">
        <v>35000</v>
      </c>
    </row>
    <row r="23" customFormat="false" ht="15" hidden="false" customHeight="false" outlineLevel="0" collapsed="false">
      <c r="A23" s="5" t="s">
        <v>26</v>
      </c>
      <c r="B23" s="12" t="n">
        <v>40000</v>
      </c>
      <c r="C23" s="12" t="n">
        <v>60000</v>
      </c>
      <c r="D23" s="12" t="n">
        <v>80000</v>
      </c>
      <c r="E23" s="12" t="n">
        <v>90000</v>
      </c>
      <c r="F23" s="12" t="n">
        <v>100000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3" t="s">
        <v>27</v>
      </c>
      <c r="B25" s="2"/>
      <c r="C25" s="2"/>
      <c r="D25" s="2"/>
      <c r="E25" s="2"/>
      <c r="F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28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1" t="str">
        <f aca="false">"Scenario: "&amp;INDEX({"Low","Base","High"},Assumptions!$B$5)</f>
        <v>Scenario: Base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29</v>
      </c>
      <c r="B4" s="13" t="s">
        <v>19</v>
      </c>
      <c r="C4" s="13" t="s">
        <v>20</v>
      </c>
      <c r="D4" s="13" t="s">
        <v>21</v>
      </c>
      <c r="E4" s="13" t="s">
        <v>22</v>
      </c>
      <c r="F4" s="13" t="s">
        <v>23</v>
      </c>
    </row>
    <row r="5" customFormat="false" ht="15" hidden="false" customHeight="false" outlineLevel="0" collapsed="false">
      <c r="A5" s="11" t="s">
        <v>30</v>
      </c>
      <c r="B5" s="2"/>
      <c r="C5" s="2"/>
      <c r="D5" s="2"/>
      <c r="E5" s="2"/>
      <c r="F5" s="2"/>
    </row>
    <row r="6" customFormat="false" ht="15" hidden="false" customHeight="false" outlineLevel="0" collapsed="false">
      <c r="A6" s="5" t="s">
        <v>31</v>
      </c>
      <c r="B6" s="14" t="n">
        <f aca="false">0</f>
        <v>0</v>
      </c>
      <c r="C6" s="14" t="n">
        <f aca="false">B9</f>
        <v>15000</v>
      </c>
      <c r="D6" s="14" t="n">
        <f aca="false">C9</f>
        <v>29750</v>
      </c>
      <c r="E6" s="14" t="n">
        <f aca="false">D9</f>
        <v>44337.5</v>
      </c>
      <c r="F6" s="14" t="n">
        <f aca="false">E9</f>
        <v>58819.375</v>
      </c>
    </row>
    <row r="7" customFormat="false" ht="15" hidden="false" customHeight="false" outlineLevel="0" collapsed="false">
      <c r="A7" s="5" t="s">
        <v>32</v>
      </c>
      <c r="B7" s="14" t="n">
        <f aca="false">INDEX(Assumptions!B$21:B$23,Assumptions!$B$5)</f>
        <v>15000</v>
      </c>
      <c r="C7" s="14" t="n">
        <f aca="false">INDEX(Assumptions!C$21:C$23,Assumptions!$B$5)</f>
        <v>20000</v>
      </c>
      <c r="D7" s="14" t="n">
        <f aca="false">INDEX(Assumptions!D$21:D$23,Assumptions!$B$5)</f>
        <v>25000</v>
      </c>
      <c r="E7" s="14" t="n">
        <f aca="false">INDEX(Assumptions!E$21:E$23,Assumptions!$B$5)</f>
        <v>30000</v>
      </c>
      <c r="F7" s="14" t="n">
        <f aca="false">INDEX(Assumptions!F$21:F$23,Assumptions!$B$5)</f>
        <v>35000</v>
      </c>
    </row>
    <row r="8" customFormat="false" ht="15" hidden="false" customHeight="false" outlineLevel="0" collapsed="false">
      <c r="A8" s="5" t="s">
        <v>33</v>
      </c>
      <c r="B8" s="14" t="n">
        <f aca="false">-B6*Assumptions!$B$7</f>
        <v>-0</v>
      </c>
      <c r="C8" s="14" t="n">
        <f aca="false">-C6*Assumptions!$B$7</f>
        <v>-5250</v>
      </c>
      <c r="D8" s="14" t="n">
        <f aca="false">-D6*Assumptions!$B$7</f>
        <v>-10412.5</v>
      </c>
      <c r="E8" s="14" t="n">
        <f aca="false">-E6*Assumptions!$B$7</f>
        <v>-15518.125</v>
      </c>
      <c r="F8" s="14" t="n">
        <f aca="false">-F6*Assumptions!$B$7</f>
        <v>-20586.78125</v>
      </c>
    </row>
    <row r="9" customFormat="false" ht="15" hidden="false" customHeight="false" outlineLevel="0" collapsed="false">
      <c r="A9" s="11" t="s">
        <v>34</v>
      </c>
      <c r="B9" s="15" t="n">
        <f aca="false">B6+B7+B8</f>
        <v>15000</v>
      </c>
      <c r="C9" s="15" t="n">
        <f aca="false">C6+C7+C8</f>
        <v>29750</v>
      </c>
      <c r="D9" s="15" t="n">
        <f aca="false">D6+D7+D8</f>
        <v>44337.5</v>
      </c>
      <c r="E9" s="15" t="n">
        <f aca="false">E6+E7+E8</f>
        <v>58819.375</v>
      </c>
      <c r="F9" s="15" t="n">
        <f aca="false">F6+F7+F8</f>
        <v>73232.59375</v>
      </c>
    </row>
    <row r="10" customFormat="false" ht="15" hidden="false" customHeight="false" outlineLevel="0" collapsed="false">
      <c r="A10" s="5" t="s">
        <v>35</v>
      </c>
      <c r="B10" s="14" t="n">
        <f aca="false">(B6+B9)/2</f>
        <v>7500</v>
      </c>
      <c r="C10" s="14" t="n">
        <f aca="false">(C6+C9)/2</f>
        <v>22375</v>
      </c>
      <c r="D10" s="14" t="n">
        <f aca="false">(D6+D9)/2</f>
        <v>37043.75</v>
      </c>
      <c r="E10" s="14" t="n">
        <f aca="false">(E6+E9)/2</f>
        <v>51578.4375</v>
      </c>
      <c r="F10" s="14" t="n">
        <f aca="false">(F6+F9)/2</f>
        <v>66025.984375</v>
      </c>
    </row>
    <row r="11" customFormat="false" ht="15" hidden="false" customHeight="false" outlineLevel="0" collapsed="false">
      <c r="A11" s="5"/>
      <c r="B11" s="2"/>
      <c r="C11" s="2"/>
      <c r="D11" s="2"/>
      <c r="E11" s="2"/>
      <c r="F11" s="2"/>
    </row>
    <row r="12" customFormat="false" ht="15" hidden="false" customHeight="false" outlineLevel="0" collapsed="false">
      <c r="A12" s="11" t="s">
        <v>36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5" t="s">
        <v>37</v>
      </c>
      <c r="B13" s="16" t="n">
        <f aca="false">B10*Assumptions!$B$6*12</f>
        <v>1080000</v>
      </c>
      <c r="C13" s="16" t="n">
        <f aca="false">C10*Assumptions!$B$6*12</f>
        <v>3222000</v>
      </c>
      <c r="D13" s="16" t="n">
        <f aca="false">D10*Assumptions!$B$6*12</f>
        <v>5334300</v>
      </c>
      <c r="E13" s="16" t="n">
        <f aca="false">E10*Assumptions!$B$6*12</f>
        <v>7427295</v>
      </c>
      <c r="F13" s="16" t="n">
        <f aca="false">F10*Assumptions!$B$6*12</f>
        <v>9507741.75</v>
      </c>
    </row>
    <row r="14" customFormat="false" ht="15" hidden="false" customHeight="false" outlineLevel="0" collapsed="false">
      <c r="A14" s="5" t="s">
        <v>38</v>
      </c>
      <c r="B14" s="16" t="n">
        <f aca="false">-B13*Assumptions!$B$8</f>
        <v>-86400</v>
      </c>
      <c r="C14" s="16" t="n">
        <f aca="false">-C13*Assumptions!$B$8</f>
        <v>-257760</v>
      </c>
      <c r="D14" s="16" t="n">
        <f aca="false">-D13*Assumptions!$B$8</f>
        <v>-426744</v>
      </c>
      <c r="E14" s="16" t="n">
        <f aca="false">-E13*Assumptions!$B$8</f>
        <v>-594183.6</v>
      </c>
      <c r="F14" s="16" t="n">
        <f aca="false">-F13*Assumptions!$B$8</f>
        <v>-760619.34</v>
      </c>
    </row>
    <row r="15" customFormat="false" ht="15" hidden="false" customHeight="false" outlineLevel="0" collapsed="false">
      <c r="A15" s="11" t="s">
        <v>39</v>
      </c>
      <c r="B15" s="17" t="n">
        <f aca="false">B13+B14</f>
        <v>993600</v>
      </c>
      <c r="C15" s="17" t="n">
        <f aca="false">C13+C14</f>
        <v>2964240</v>
      </c>
      <c r="D15" s="17" t="n">
        <f aca="false">D13+D14</f>
        <v>4907556</v>
      </c>
      <c r="E15" s="17" t="n">
        <f aca="false">E13+E14</f>
        <v>6833111.4</v>
      </c>
      <c r="F15" s="17" t="n">
        <f aca="false">F13+F14</f>
        <v>8747122.41</v>
      </c>
    </row>
    <row r="16" customFormat="false" ht="15" hidden="false" customHeight="false" outlineLevel="0" collapsed="false">
      <c r="A16" s="5" t="s">
        <v>40</v>
      </c>
      <c r="B16" s="16" t="n">
        <f aca="false">0</f>
        <v>0</v>
      </c>
      <c r="C16" s="16" t="n">
        <f aca="false">B35*Assumptions!$B$17</f>
        <v>4500</v>
      </c>
      <c r="D16" s="16" t="n">
        <f aca="false">C35*Assumptions!$B$17</f>
        <v>27000</v>
      </c>
      <c r="E16" s="16" t="n">
        <f aca="false">D35*Assumptions!$B$17</f>
        <v>61500</v>
      </c>
      <c r="F16" s="16" t="n">
        <f aca="false">E35*Assumptions!$B$17</f>
        <v>111000</v>
      </c>
    </row>
    <row r="17" customFormat="false" ht="15" hidden="false" customHeight="false" outlineLevel="0" collapsed="false">
      <c r="A17" s="11" t="s">
        <v>41</v>
      </c>
      <c r="B17" s="17" t="n">
        <f aca="false">B15+B16</f>
        <v>993600</v>
      </c>
      <c r="C17" s="17" t="n">
        <f aca="false">C15+C16</f>
        <v>2968740</v>
      </c>
      <c r="D17" s="17" t="n">
        <f aca="false">D15+D16</f>
        <v>4934556</v>
      </c>
      <c r="E17" s="17" t="n">
        <f aca="false">E15+E16</f>
        <v>6894611.4</v>
      </c>
      <c r="F17" s="17" t="n">
        <f aca="false">F15+F16</f>
        <v>8858122.41</v>
      </c>
    </row>
    <row r="18" customFormat="false" ht="15" hidden="false" customHeight="false" outlineLevel="0" collapsed="false">
      <c r="A18" s="5"/>
      <c r="B18" s="2"/>
      <c r="C18" s="2"/>
      <c r="D18" s="2"/>
      <c r="E18" s="2"/>
      <c r="F18" s="2"/>
    </row>
    <row r="19" customFormat="false" ht="15" hidden="false" customHeight="false" outlineLevel="0" collapsed="false">
      <c r="A19" s="11" t="s">
        <v>42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5" t="s">
        <v>43</v>
      </c>
      <c r="B20" s="16" t="n">
        <f aca="false">-B15*Assumptions!$B$9</f>
        <v>-198720</v>
      </c>
      <c r="C20" s="16" t="n">
        <f aca="false">-C15*Assumptions!$B$9</f>
        <v>-592848</v>
      </c>
      <c r="D20" s="16" t="n">
        <f aca="false">-D15*Assumptions!$B$9</f>
        <v>-981511.2</v>
      </c>
      <c r="E20" s="16" t="n">
        <f aca="false">-E15*Assumptions!$B$9</f>
        <v>-1366622.28</v>
      </c>
      <c r="F20" s="16" t="n">
        <f aca="false">-F15*Assumptions!$B$9</f>
        <v>-1749424.482</v>
      </c>
    </row>
    <row r="21" customFormat="false" ht="15" hidden="false" customHeight="false" outlineLevel="0" collapsed="false">
      <c r="A21" s="5" t="s">
        <v>44</v>
      </c>
      <c r="B21" s="16" t="n">
        <f aca="false">-Assumptions!$B$14</f>
        <v>-600000</v>
      </c>
      <c r="C21" s="16" t="n">
        <f aca="false">-Assumptions!$B$14</f>
        <v>-600000</v>
      </c>
      <c r="D21" s="16" t="n">
        <f aca="false">-Assumptions!$B$14</f>
        <v>-600000</v>
      </c>
      <c r="E21" s="16" t="n">
        <f aca="false">-Assumptions!$B$14</f>
        <v>-600000</v>
      </c>
      <c r="F21" s="16" t="n">
        <f aca="false">-Assumptions!$B$14</f>
        <v>-600000</v>
      </c>
    </row>
    <row r="22" customFormat="false" ht="15" hidden="false" customHeight="false" outlineLevel="0" collapsed="false">
      <c r="A22" s="5" t="s">
        <v>45</v>
      </c>
      <c r="B22" s="16" t="n">
        <f aca="false">-Assumptions!$B$15</f>
        <v>-800000</v>
      </c>
      <c r="C22" s="16" t="n">
        <f aca="false">-Assumptions!$B$15</f>
        <v>-800000</v>
      </c>
      <c r="D22" s="16" t="n">
        <f aca="false">-Assumptions!$B$15</f>
        <v>-800000</v>
      </c>
      <c r="E22" s="16" t="n">
        <f aca="false">-Assumptions!$B$15</f>
        <v>-800000</v>
      </c>
      <c r="F22" s="16" t="n">
        <f aca="false">-Assumptions!$B$15</f>
        <v>-800000</v>
      </c>
    </row>
    <row r="23" customFormat="false" ht="15" hidden="false" customHeight="false" outlineLevel="0" collapsed="false">
      <c r="A23" s="5" t="s">
        <v>46</v>
      </c>
      <c r="B23" s="16" t="n">
        <f aca="false">-B7*Assumptions!$B$16</f>
        <v>-600000</v>
      </c>
      <c r="C23" s="16" t="n">
        <f aca="false">-C7*Assumptions!$B$16</f>
        <v>-800000</v>
      </c>
      <c r="D23" s="16" t="n">
        <f aca="false">-D7*Assumptions!$B$16</f>
        <v>-1000000</v>
      </c>
      <c r="E23" s="16" t="n">
        <f aca="false">-E7*Assumptions!$B$16</f>
        <v>-1200000</v>
      </c>
      <c r="F23" s="16" t="n">
        <f aca="false">-F7*Assumptions!$B$16</f>
        <v>-1400000</v>
      </c>
    </row>
    <row r="24" customFormat="false" ht="15" hidden="false" customHeight="false" outlineLevel="0" collapsed="false">
      <c r="A24" s="11" t="s">
        <v>47</v>
      </c>
      <c r="B24" s="17" t="n">
        <f aca="false">B17+B20+B21+B22+B23</f>
        <v>-1205120</v>
      </c>
      <c r="C24" s="17" t="n">
        <f aca="false">C17+C20+C21+C22+C23</f>
        <v>175892</v>
      </c>
      <c r="D24" s="17" t="n">
        <f aca="false">D17+D20+D21+D22+D23</f>
        <v>1553044.8</v>
      </c>
      <c r="E24" s="17" t="n">
        <f aca="false">E17+E20+E21+E22+E23</f>
        <v>2927989.12</v>
      </c>
      <c r="F24" s="17" t="n">
        <f aca="false">F17+F20+F21+F22+F23</f>
        <v>4308697.928</v>
      </c>
    </row>
    <row r="25" customFormat="false" ht="15" hidden="false" customHeight="false" outlineLevel="0" collapsed="false">
      <c r="A25" s="5" t="s">
        <v>48</v>
      </c>
      <c r="B25" s="16" t="n">
        <f aca="false">-B15*Assumptions!$B$10</f>
        <v>-248400</v>
      </c>
      <c r="C25" s="16" t="n">
        <f aca="false">-C15*Assumptions!$B$10</f>
        <v>-741060</v>
      </c>
      <c r="D25" s="16" t="n">
        <f aca="false">-D15*Assumptions!$B$10</f>
        <v>-1226889</v>
      </c>
      <c r="E25" s="16" t="n">
        <f aca="false">-E15*Assumptions!$B$10</f>
        <v>-1708277.85</v>
      </c>
      <c r="F25" s="16" t="n">
        <f aca="false">-F15*Assumptions!$B$10</f>
        <v>-2186780.6025</v>
      </c>
    </row>
    <row r="26" customFormat="false" ht="15" hidden="false" customHeight="false" outlineLevel="0" collapsed="false">
      <c r="A26" s="11" t="s">
        <v>49</v>
      </c>
      <c r="B26" s="17" t="n">
        <f aca="false">B24+B25</f>
        <v>-1453520</v>
      </c>
      <c r="C26" s="17" t="n">
        <f aca="false">C24+C25</f>
        <v>-565168</v>
      </c>
      <c r="D26" s="17" t="n">
        <f aca="false">D24+D25</f>
        <v>326155.8</v>
      </c>
      <c r="E26" s="17" t="n">
        <f aca="false">E24+E25</f>
        <v>1219711.27</v>
      </c>
      <c r="F26" s="17" t="n">
        <f aca="false">F24+F25</f>
        <v>2121917.3255</v>
      </c>
    </row>
    <row r="27" customFormat="false" ht="15" hidden="false" customHeight="false" outlineLevel="0" collapsed="false">
      <c r="A27" s="5" t="s">
        <v>50</v>
      </c>
      <c r="B27" s="16" t="n">
        <f aca="false">B26</f>
        <v>-1453520</v>
      </c>
      <c r="C27" s="16" t="n">
        <f aca="false">B27+C26</f>
        <v>-2018688</v>
      </c>
      <c r="D27" s="16" t="n">
        <f aca="false">C27+D26</f>
        <v>-1692532.2</v>
      </c>
      <c r="E27" s="16" t="n">
        <f aca="false">D27+E26</f>
        <v>-472820.93</v>
      </c>
      <c r="F27" s="16" t="n">
        <f aca="false">E27+F26</f>
        <v>1649096.3955</v>
      </c>
    </row>
    <row r="28" customFormat="false" ht="15" hidden="false" customHeight="false" outlineLevel="0" collapsed="false">
      <c r="A28" s="5"/>
      <c r="B28" s="2"/>
      <c r="C28" s="2"/>
      <c r="D28" s="2"/>
      <c r="E28" s="2"/>
      <c r="F28" s="2"/>
    </row>
    <row r="29" customFormat="false" ht="15" hidden="false" customHeight="false" outlineLevel="0" collapsed="false">
      <c r="A29" s="11" t="s">
        <v>51</v>
      </c>
      <c r="B29" s="2"/>
      <c r="C29" s="2"/>
      <c r="D29" s="2"/>
      <c r="E29" s="2"/>
      <c r="F29" s="2"/>
    </row>
    <row r="30" customFormat="false" ht="15" hidden="false" customHeight="false" outlineLevel="0" collapsed="false">
      <c r="A30" s="5" t="s">
        <v>52</v>
      </c>
      <c r="B30" s="16" t="n">
        <f aca="false">-B25</f>
        <v>248400</v>
      </c>
      <c r="C30" s="16" t="n">
        <f aca="false">-C25+B34</f>
        <v>829460</v>
      </c>
      <c r="D30" s="16" t="n">
        <f aca="false">-D25+C34</f>
        <v>1276349</v>
      </c>
      <c r="E30" s="16" t="n">
        <f aca="false">-E25+D34</f>
        <v>1784626.85</v>
      </c>
      <c r="F30" s="16" t="n">
        <f aca="false">-F25+E34</f>
        <v>2251407.4525</v>
      </c>
    </row>
    <row r="31" customFormat="false" ht="15" hidden="false" customHeight="false" outlineLevel="0" collapsed="false">
      <c r="A31" s="5" t="s">
        <v>53</v>
      </c>
      <c r="B31" s="14" t="n">
        <f aca="false">INT(B30*Assumptions!$B$11/Assumptions!$B$12)</f>
        <v>2</v>
      </c>
      <c r="C31" s="14" t="n">
        <f aca="false">INT(C30*Assumptions!$B$11/Assumptions!$B$12)</f>
        <v>9</v>
      </c>
      <c r="D31" s="14" t="n">
        <f aca="false">INT(D30*Assumptions!$B$11/Assumptions!$B$12)</f>
        <v>14</v>
      </c>
      <c r="E31" s="14" t="n">
        <f aca="false">INT(E30*Assumptions!$B$11/Assumptions!$B$12)</f>
        <v>20</v>
      </c>
      <c r="F31" s="14" t="n">
        <f aca="false">INT(F30*Assumptions!$B$11/Assumptions!$B$12)</f>
        <v>26</v>
      </c>
    </row>
    <row r="32" customFormat="false" ht="15" hidden="false" customHeight="false" outlineLevel="0" collapsed="false">
      <c r="A32" s="5" t="s">
        <v>54</v>
      </c>
      <c r="B32" s="14" t="n">
        <f aca="false">INT(B30*(1-Assumptions!$B$11)/Assumptions!$B$13)</f>
        <v>1</v>
      </c>
      <c r="C32" s="14" t="n">
        <f aca="false">INT(C30*(1-Assumptions!$B$11)/Assumptions!$B$13)</f>
        <v>6</v>
      </c>
      <c r="D32" s="14" t="n">
        <f aca="false">INT(D30*(1-Assumptions!$B$11)/Assumptions!$B$13)</f>
        <v>9</v>
      </c>
      <c r="E32" s="14" t="n">
        <f aca="false">INT(E30*(1-Assumptions!$B$11)/Assumptions!$B$13)</f>
        <v>13</v>
      </c>
      <c r="F32" s="14" t="n">
        <f aca="false">INT(F30*(1-Assumptions!$B$11)/Assumptions!$B$13)</f>
        <v>16</v>
      </c>
    </row>
    <row r="33" customFormat="false" ht="15" hidden="false" customHeight="false" outlineLevel="0" collapsed="false">
      <c r="A33" s="5" t="s">
        <v>55</v>
      </c>
      <c r="B33" s="16" t="n">
        <f aca="false">B31*Assumptions!$B$12+B32*Assumptions!$B$13</f>
        <v>160000</v>
      </c>
      <c r="C33" s="16" t="n">
        <f aca="false">C31*Assumptions!$B$12+C32*Assumptions!$B$13</f>
        <v>780000</v>
      </c>
      <c r="D33" s="16" t="n">
        <f aca="false">D31*Assumptions!$B$12+D32*Assumptions!$B$13</f>
        <v>1200000</v>
      </c>
      <c r="E33" s="16" t="n">
        <f aca="false">E31*Assumptions!$B$12+E32*Assumptions!$B$13</f>
        <v>1720000</v>
      </c>
      <c r="F33" s="16" t="n">
        <f aca="false">F31*Assumptions!$B$12+F32*Assumptions!$B$13</f>
        <v>2200000</v>
      </c>
    </row>
    <row r="34" customFormat="false" ht="15" hidden="false" customHeight="false" outlineLevel="0" collapsed="false">
      <c r="A34" s="5" t="s">
        <v>56</v>
      </c>
      <c r="B34" s="16" t="n">
        <f aca="false">B30-B33</f>
        <v>88400</v>
      </c>
      <c r="C34" s="16" t="n">
        <f aca="false">C30-C33</f>
        <v>49460</v>
      </c>
      <c r="D34" s="16" t="n">
        <f aca="false">D30-D33</f>
        <v>76349</v>
      </c>
      <c r="E34" s="16" t="n">
        <f aca="false">E30-E33</f>
        <v>64626.8500000001</v>
      </c>
      <c r="F34" s="16" t="n">
        <f aca="false">F30-F33</f>
        <v>51407.4525000001</v>
      </c>
    </row>
    <row r="35" customFormat="false" ht="15" hidden="false" customHeight="false" outlineLevel="0" collapsed="false">
      <c r="A35" s="11" t="s">
        <v>57</v>
      </c>
      <c r="B35" s="15" t="n">
        <f aca="false">B31+B32</f>
        <v>3</v>
      </c>
      <c r="C35" s="15" t="n">
        <f aca="false">B35+C31+C32</f>
        <v>18</v>
      </c>
      <c r="D35" s="15" t="n">
        <f aca="false">C35+D31+D32</f>
        <v>41</v>
      </c>
      <c r="E35" s="15" t="n">
        <f aca="false">D35+E31+E32</f>
        <v>74</v>
      </c>
      <c r="F35" s="15" t="n">
        <f aca="false">E35+F31+F32</f>
        <v>116</v>
      </c>
    </row>
    <row r="36" customFormat="false" ht="15" hidden="false" customHeight="false" outlineLevel="0" collapsed="false">
      <c r="A36" s="11" t="s">
        <v>58</v>
      </c>
      <c r="B36" s="17" t="n">
        <f aca="false">B33</f>
        <v>160000</v>
      </c>
      <c r="C36" s="17" t="n">
        <f aca="false">B36+C33</f>
        <v>940000</v>
      </c>
      <c r="D36" s="17" t="n">
        <f aca="false">C36+D33</f>
        <v>2140000</v>
      </c>
      <c r="E36" s="17" t="n">
        <f aca="false">D36+E33</f>
        <v>3860000</v>
      </c>
      <c r="F36" s="17" t="n">
        <f aca="false">E36+F33</f>
        <v>6060000</v>
      </c>
    </row>
    <row r="37" customFormat="false" ht="15" hidden="false" customHeight="false" outlineLevel="0" collapsed="false">
      <c r="A37" s="5"/>
      <c r="B37" s="2"/>
      <c r="C37" s="2"/>
      <c r="D37" s="2"/>
      <c r="E37" s="2"/>
      <c r="F37" s="2"/>
    </row>
    <row r="38" customFormat="false" ht="15" hidden="false" customHeight="false" outlineLevel="0" collapsed="false">
      <c r="A38" s="11" t="s">
        <v>59</v>
      </c>
      <c r="B38" s="2"/>
      <c r="C38" s="2"/>
      <c r="D38" s="2"/>
      <c r="E38" s="2"/>
      <c r="F38" s="2"/>
    </row>
    <row r="39" customFormat="false" ht="15" hidden="false" customHeight="false" outlineLevel="0" collapsed="false">
      <c r="A39" s="5" t="s">
        <v>60</v>
      </c>
      <c r="B39" s="16" t="n">
        <f aca="false">-B20+B33</f>
        <v>358720</v>
      </c>
      <c r="C39" s="16" t="n">
        <f aca="false">-C20+C33</f>
        <v>1372848</v>
      </c>
      <c r="D39" s="16" t="n">
        <f aca="false">-D20+D33</f>
        <v>2181511.2</v>
      </c>
      <c r="E39" s="16" t="n">
        <f aca="false">-E20+E33</f>
        <v>3086622.28</v>
      </c>
      <c r="F39" s="16" t="n">
        <f aca="false">-F20+F33</f>
        <v>3949424.482</v>
      </c>
    </row>
    <row r="40" customFormat="false" ht="15" hidden="false" customHeight="false" outlineLevel="0" collapsed="false">
      <c r="A40" s="5" t="s">
        <v>61</v>
      </c>
      <c r="B40" s="14" t="n">
        <f aca="false">(Assumptions!$B$14+Assumptions!$B$15)/(Assumptions!$B$6*12*(1-Assumptions!$B$8)*(1-Assumptions!$B$9))</f>
        <v>13209.5410628019</v>
      </c>
      <c r="C40" s="14" t="n">
        <f aca="false">(Assumptions!$B$14+Assumptions!$B$15)/(Assumptions!$B$6*12*(1-Assumptions!$B$8)*(1-Assumptions!$B$9))</f>
        <v>13209.5410628019</v>
      </c>
      <c r="D40" s="14" t="n">
        <f aca="false">(Assumptions!$B$14+Assumptions!$B$15)/(Assumptions!$B$6*12*(1-Assumptions!$B$8)*(1-Assumptions!$B$9))</f>
        <v>13209.5410628019</v>
      </c>
      <c r="E40" s="14" t="n">
        <f aca="false">(Assumptions!$B$14+Assumptions!$B$15)/(Assumptions!$B$6*12*(1-Assumptions!$B$8)*(1-Assumptions!$B$9))</f>
        <v>13209.5410628019</v>
      </c>
      <c r="F40" s="14" t="n">
        <f aca="false">(Assumptions!$B$14+Assumptions!$B$15)/(Assumptions!$B$6*12*(1-Assumptions!$B$8)*(1-Assumptions!$B$9))</f>
        <v>13209.5410628019</v>
      </c>
    </row>
    <row r="41" customFormat="false" ht="15" hidden="false" customHeight="false" outlineLevel="0" collapsed="false">
      <c r="A41" s="5" t="s">
        <v>62</v>
      </c>
      <c r="B41" s="14" t="n">
        <f aca="false">(Assumptions!$B$14+Assumptions!$B$15)/(Assumptions!$B$6*12*(1-Assumptions!$B$8)*(1-Assumptions!$B$9-Assumptions!$B$10))</f>
        <v>19213.8779095301</v>
      </c>
      <c r="C41" s="14" t="n">
        <f aca="false">(Assumptions!$B$14+Assumptions!$B$15)/(Assumptions!$B$6*12*(1-Assumptions!$B$8)*(1-Assumptions!$B$9-Assumptions!$B$10))</f>
        <v>19213.8779095301</v>
      </c>
      <c r="D41" s="14" t="n">
        <f aca="false">(Assumptions!$B$14+Assumptions!$B$15)/(Assumptions!$B$6*12*(1-Assumptions!$B$8)*(1-Assumptions!$B$9-Assumptions!$B$10))</f>
        <v>19213.8779095301</v>
      </c>
      <c r="E41" s="14" t="n">
        <f aca="false">(Assumptions!$B$14+Assumptions!$B$15)/(Assumptions!$B$6*12*(1-Assumptions!$B$8)*(1-Assumptions!$B$9-Assumptions!$B$10))</f>
        <v>19213.8779095301</v>
      </c>
      <c r="F41" s="14" t="n">
        <f aca="false">(Assumptions!$B$14+Assumptions!$B$15)/(Assumptions!$B$6*12*(1-Assumptions!$B$8)*(1-Assumptions!$B$9-Assumptions!$B$10))</f>
        <v>19213.8779095301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1" t="s">
        <v>63</v>
      </c>
    </row>
    <row r="2" customFormat="false" ht="15" hidden="false" customHeight="false" outlineLevel="0" collapsed="false">
      <c r="A2" s="5" t="s">
        <v>64</v>
      </c>
    </row>
    <row r="3" customFormat="false" ht="15" hidden="false" customHeight="false" outlineLevel="0" collapsed="false">
      <c r="A3" s="5" t="s">
        <v>65</v>
      </c>
    </row>
    <row r="4" customFormat="false" ht="15" hidden="false" customHeight="false" outlineLevel="0" collapsed="false">
      <c r="A4" s="5" t="s">
        <v>66</v>
      </c>
    </row>
    <row r="5" customFormat="false" ht="15" hidden="false" customHeight="false" outlineLevel="0" collapsed="false">
      <c r="A5" s="5"/>
    </row>
    <row r="6" customFormat="false" ht="15" hidden="false" customHeight="false" outlineLevel="0" collapsed="false">
      <c r="A6" s="11" t="s">
        <v>67</v>
      </c>
    </row>
    <row r="7" customFormat="false" ht="15" hidden="false" customHeight="false" outlineLevel="0" collapsed="false">
      <c r="A7" s="5" t="s">
        <v>68</v>
      </c>
    </row>
    <row r="8" customFormat="false" ht="15" hidden="false" customHeight="false" outlineLevel="0" collapsed="false">
      <c r="A8" s="5" t="s">
        <v>69</v>
      </c>
    </row>
    <row r="9" customFormat="false" ht="15" hidden="false" customHeight="false" outlineLevel="0" collapsed="false">
      <c r="A9" s="5" t="s">
        <v>70</v>
      </c>
    </row>
    <row r="10" customFormat="false" ht="15" hidden="false" customHeight="false" outlineLevel="0" collapsed="false">
      <c r="A10" s="5" t="s">
        <v>71</v>
      </c>
    </row>
    <row r="11" customFormat="false" ht="15" hidden="false" customHeight="false" outlineLevel="0" collapsed="false">
      <c r="A11" s="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2026-11-01T21:12:33Z</dcterms:created>
  <dc:creator>openpyxl</dc:creator>
  <dc:description/>
  <dc:language>en-US</dc:language>
  <cp:lastModifiedBy/>
  <dcterms:modified xsi:type="dcterms:W3CDTF">2026-11-01T21:12:33Z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